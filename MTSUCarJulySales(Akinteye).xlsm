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f07585f94bc8d41/MTSU/MBAI 6835-IT APPLICATIONS FOR DECISION MAKING/MODULE 4/"/>
    </mc:Choice>
  </mc:AlternateContent>
  <xr:revisionPtr revIDLastSave="223" documentId="8_{129E6F54-F9E8-4328-AFFD-4790F6CF40A2}" xr6:coauthVersionLast="47" xr6:coauthVersionMax="47" xr10:uidLastSave="{600104CD-D73F-4236-A2BE-485091416558}"/>
  <workbookProtection lockStructure="1"/>
  <bookViews>
    <workbookView xWindow="-110" yWindow="-110" windowWidth="19420" windowHeight="10420" activeTab="1" xr2:uid="{00000000-000D-0000-FFFF-FFFF00000000}"/>
  </bookViews>
  <sheets>
    <sheet name="Documentation" sheetId="6" r:id="rId1"/>
    <sheet name="SalesEntryForm" sheetId="2" r:id="rId2"/>
    <sheet name="SalesList" sheetId="3" r:id="rId3"/>
    <sheet name="SalesRepSummary" sheetId="4" r:id="rId4"/>
    <sheet name="SalesChart" sheetId="5" r:id="rId5"/>
  </sheets>
  <definedNames>
    <definedName name="Commission">SalesEntryForm!$B$8</definedName>
    <definedName name="Sales_Amount">SalesEntryForm!$B$7</definedName>
    <definedName name="Sales_Date">SalesEntryForm!$B$6</definedName>
    <definedName name="Sales_Rep_Name">SalesEntryForm!$B$5</definedName>
    <definedName name="Steelers">SalesEntryForm!$D$1:$D$3</definedName>
    <definedName name="Top">SalesList!$A$5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  <c r="C4" i="4"/>
  <c r="C3" i="4"/>
  <c r="C2" i="4"/>
  <c r="B6" i="4"/>
  <c r="B5" i="4"/>
  <c r="B2" i="4"/>
  <c r="C5" i="4"/>
  <c r="C6" i="4"/>
  <c r="B4" i="4" l="1"/>
  <c r="B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tc={161B0FB5-0EFD-4A5A-9784-4395A9F361C1}</author>
  </authors>
  <commentList>
    <comment ref="A256" authorId="0" shapeId="0" xr:uid="{161B0FB5-0EFD-4A5A-9784-4395A9F361C1}">
      <text>
        <t>[Threaded comment]
Your version of Excel allows you to read this threaded comment; however, any edits to it will get removed if the file is opened in a newer version of Excel. Learn more: https://go.microsoft.com/fwlink/?linkid=870924
Comment:
    Warning!!!
To include this entry, you will need to update formulas on the SalesRepSummary worksheet.</t>
      </text>
    </comment>
  </commentList>
</comments>
</file>

<file path=xl/sharedStrings.xml><?xml version="1.0" encoding="utf-8"?>
<sst xmlns="http://schemas.openxmlformats.org/spreadsheetml/2006/main" count="78" uniqueCount="49">
  <si>
    <t>Sales Rep Sales Data</t>
  </si>
  <si>
    <t>Entry Form</t>
  </si>
  <si>
    <t>Commission Percentage:</t>
  </si>
  <si>
    <t>Sales Rep Commission Data</t>
  </si>
  <si>
    <t>For the Current Month</t>
  </si>
  <si>
    <t>Sales Rep Name</t>
  </si>
  <si>
    <t>Sales Date</t>
  </si>
  <si>
    <t>Sales Amount</t>
  </si>
  <si>
    <t>Commission</t>
  </si>
  <si>
    <t>MTSU Auto</t>
  </si>
  <si>
    <t>Tony Morrison</t>
  </si>
  <si>
    <t>Steven White</t>
  </si>
  <si>
    <t>Emily Newhouse</t>
  </si>
  <si>
    <t>Marsha Littlefield</t>
  </si>
  <si>
    <t>Sam Smith</t>
  </si>
  <si>
    <t>Total Sales</t>
  </si>
  <si>
    <t>Total Commissions</t>
  </si>
  <si>
    <t xml:space="preserve">Sales Per Sales Rep </t>
  </si>
  <si>
    <t>Sales Chart</t>
  </si>
  <si>
    <t>Created by:</t>
  </si>
  <si>
    <t>Gbemisola Akinteye</t>
  </si>
  <si>
    <t>Date:</t>
  </si>
  <si>
    <t>Last Update by:</t>
  </si>
  <si>
    <t>Purpose:</t>
  </si>
  <si>
    <t>How the workbook works:</t>
  </si>
  <si>
    <t>Data Entry</t>
  </si>
  <si>
    <t>Enter sales data using the data entry form (SalesEntryForm sheet). Note that the commission is computed automatically.</t>
  </si>
  <si>
    <t>Record Data</t>
  </si>
  <si>
    <r>
      <t xml:space="preserve">Click the </t>
    </r>
    <r>
      <rPr>
        <b/>
        <sz val="10"/>
        <rFont val="Arial"/>
        <family val="2"/>
      </rPr>
      <t>Record Sale Info</t>
    </r>
    <r>
      <rPr>
        <sz val="10"/>
        <rFont val="Arial"/>
        <family val="2"/>
      </rPr>
      <t xml:space="preserve"> button to effect your entry</t>
    </r>
    <r>
      <rPr>
        <sz val="10"/>
        <rFont val="Arial"/>
        <family val="2"/>
      </rPr>
      <t>.</t>
    </r>
  </si>
  <si>
    <t>Check Data</t>
  </si>
  <si>
    <t>Go to SalesList sheet to confirm the entry, noting if the entry is beyond row 255</t>
  </si>
  <si>
    <t>See Summary Sales</t>
  </si>
  <si>
    <t>Go to SalesRepSummary to view the summarized sales data. Remember to update formula if your data is entered after SalesList!A255 row</t>
  </si>
  <si>
    <t>Compare Sales</t>
  </si>
  <si>
    <t>View the SalesChart worksheet to compare sales by Sales Rep</t>
  </si>
  <si>
    <t>Exit</t>
  </si>
  <si>
    <t>Please clear the data you entered in the SalesEntryForm before closing the workbook.</t>
  </si>
  <si>
    <t>This workbook helps users to enter valid sales data and not change or delete the data the workbook already contains. A chart is included to compare the total sales of each salesperson without revealing their names. NB: The commission value for all new entries is 7.75%.</t>
  </si>
  <si>
    <t>Identification and explanation of Worksheets/Workbook</t>
  </si>
  <si>
    <t>SalesEntryForm</t>
  </si>
  <si>
    <t>SalesList</t>
  </si>
  <si>
    <t>SalesRepSummary</t>
  </si>
  <si>
    <t>SalesChart</t>
  </si>
  <si>
    <t>Macro</t>
  </si>
  <si>
    <t>The sales form is this. Name of Sales Rep, Sales Date, Sales Amount, and Commission are all included. 7.75% commission is automatically entered.</t>
  </si>
  <si>
    <t>These are the Sales Rep Commission numbers. The name of the sales representative, the sale's date, price, and commission are all listed on this spreadsheet.</t>
  </si>
  <si>
    <t>This page contains a list of all sales that each sales representative has made.</t>
  </si>
  <si>
    <t>Here, numerals are used to identify a graph indicating the combined sales of all sales representatives.</t>
  </si>
  <si>
    <t>The UpdatedSalesList macro is addressed by a button titled Record Sales Info. This makes data entry and showing sales commissions easier. It also shows updates on the sales list.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</si>
</sst>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1" xfId="0" applyFont="1" applyBorder="1"/>
    <xf numFmtId="7" fontId="0" fillId="0" borderId="1" xfId="1" applyNumberFormat="1" applyFont="1" applyBorder="1"/>
    <xf numFmtId="0" fontId="2" fillId="0" borderId="0" xfId="0" applyFont="1"/>
    <xf numFmtId="10" fontId="0" fillId="0" borderId="0" xfId="0" applyNumberFormat="1"/>
    <xf numFmtId="0" fontId="2" fillId="0" borderId="2" xfId="0" applyFont="1" applyBorder="1"/>
    <xf numFmtId="14" fontId="0" fillId="0" borderId="0" xfId="0" applyNumberFormat="1"/>
    <xf numFmtId="7" fontId="0" fillId="0" borderId="0" xfId="0" applyNumberFormat="1"/>
    <xf numFmtId="0" fontId="1" fillId="0" borderId="0" xfId="0" applyFont="1"/>
    <xf numFmtId="14" fontId="1" fillId="0" borderId="0" xfId="0" applyNumberFormat="1" applyFont="1"/>
    <xf numFmtId="7" fontId="1" fillId="0" borderId="0" xfId="0" applyNumberFormat="1" applyFont="1"/>
    <xf numFmtId="44" fontId="0" fillId="0" borderId="0" xfId="1" applyFont="1"/>
    <xf numFmtId="7" fontId="1" fillId="0" borderId="1" xfId="1" applyNumberFormat="1" applyFont="1" applyBorder="1" applyProtection="1">
      <protection locked="0"/>
    </xf>
    <xf numFmtId="14" fontId="1" fillId="0" borderId="1" xfId="0" applyNumberFormat="1" applyFont="1" applyBorder="1" applyProtection="1">
      <protection locked="0"/>
    </xf>
    <xf numFmtId="164" fontId="0" fillId="0" borderId="0" xfId="1" applyNumberFormat="1" applyFont="1"/>
    <xf numFmtId="0" fontId="1" fillId="0" borderId="1" xfId="0" applyFont="1" applyBorder="1" applyProtection="1">
      <protection locked="0"/>
    </xf>
    <xf numFmtId="164" fontId="0" fillId="0" borderId="0" xfId="0" applyNumberFormat="1"/>
    <xf numFmtId="0" fontId="0" fillId="0" borderId="0" xfId="0" applyAlignment="1"/>
    <xf numFmtId="0" fontId="1" fillId="0" borderId="6" xfId="0" applyFont="1" applyBorder="1" applyAlignment="1">
      <alignment wrapText="1"/>
    </xf>
    <xf numFmtId="0" fontId="0" fillId="0" borderId="6" xfId="0" applyBorder="1"/>
    <xf numFmtId="0" fontId="0" fillId="0" borderId="8" xfId="0" applyBorder="1" applyAlignment="1">
      <alignment wrapText="1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5" xfId="0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left" vertical="top" wrapText="1"/>
    </xf>
    <xf numFmtId="0" fontId="0" fillId="0" borderId="6" xfId="0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2" fillId="0" borderId="5" xfId="0" applyFont="1" applyBorder="1" applyAlignment="1">
      <alignment horizontal="right" vertical="top"/>
    </xf>
    <xf numFmtId="0" fontId="2" fillId="0" borderId="7" xfId="0" applyFont="1" applyBorder="1" applyAlignment="1">
      <alignment horizontal="right" vertical="top"/>
    </xf>
    <xf numFmtId="0" fontId="2" fillId="0" borderId="5" xfId="0" applyFont="1" applyFill="1" applyBorder="1" applyAlignment="1">
      <alignment horizontal="right" vertical="top"/>
    </xf>
    <xf numFmtId="0" fontId="2" fillId="0" borderId="7" xfId="0" applyFont="1" applyFill="1" applyBorder="1" applyAlignment="1">
      <alignment horizontal="right" vertical="top"/>
    </xf>
    <xf numFmtId="0" fontId="0" fillId="0" borderId="6" xfId="0" applyBorder="1" applyAlignment="1">
      <alignment wrapText="1"/>
    </xf>
    <xf numFmtId="0" fontId="2" fillId="0" borderId="3" xfId="0" applyFont="1" applyFill="1" applyBorder="1" applyAlignment="1">
      <alignment horizontal="left"/>
    </xf>
    <xf numFmtId="0" fontId="2" fillId="0" borderId="4" xfId="0" applyFont="1" applyFill="1" applyBorder="1" applyAlignment="1">
      <alignment horizontal="left"/>
    </xf>
    <xf numFmtId="0" fontId="2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1">
    <dxf>
      <numFmt numFmtId="34" formatCode="_(&quot;$&quot;* #,##0.00_);_(&quot;$&quot;* \(#,##0.0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Per</a:t>
            </a:r>
            <a:r>
              <a:rPr lang="en-US" baseline="0"/>
              <a:t> Sales Rep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SalesRepSummary!$B$1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Ref>
              <c:f>SalesRepSummary!$B$2:$B$6</c:f>
              <c:numCache>
                <c:formatCode>_("$"* #,##0.00_);_("$"* \(#,##0.00\);_("$"* "-"??_);_(@_)</c:formatCode>
                <c:ptCount val="5"/>
                <c:pt idx="0">
                  <c:v>4700</c:v>
                </c:pt>
                <c:pt idx="1">
                  <c:v>3700</c:v>
                </c:pt>
                <c:pt idx="2">
                  <c:v>12540</c:v>
                </c:pt>
                <c:pt idx="3">
                  <c:v>13075</c:v>
                </c:pt>
                <c:pt idx="4">
                  <c:v>8675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B-4276-B59F-D413CBA89025}"/>
            </c:ext>
          </c:extLst>
        </c:ser>
        <c:ser>
          <c:idx val="1"/>
          <c:order val="1"/>
          <c:tx>
            <c:strRef>
              <c:f>SalesRepSummary!$A$1</c:f>
              <c:strCache>
                <c:ptCount val="1"/>
                <c:pt idx="0">
                  <c:v>Sales Rep 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F7B-4276-B59F-D413CBA89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5838159"/>
        <c:axId val="565824847"/>
      </c:barChart>
      <c:catAx>
        <c:axId val="565838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Reps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24847"/>
        <c:crosses val="autoZero"/>
        <c:auto val="1"/>
        <c:lblAlgn val="ctr"/>
        <c:lblOffset val="100"/>
        <c:noMultiLvlLbl val="0"/>
      </c:catAx>
      <c:valAx>
        <c:axId val="56582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3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1</xdr:row>
          <xdr:rowOff>95250</xdr:rowOff>
        </xdr:from>
        <xdr:to>
          <xdr:col>5</xdr:col>
          <xdr:colOff>184150</xdr:colOff>
          <xdr:row>2</xdr:row>
          <xdr:rowOff>146050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Record Sale Info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25400</xdr:rowOff>
    </xdr:from>
    <xdr:to>
      <xdr:col>6</xdr:col>
      <xdr:colOff>222250</xdr:colOff>
      <xdr:row>22</xdr:row>
      <xdr:rowOff>69850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nteye Gbemisola" id="{17FCDD1F-2136-4236-B52A-2DEE5616A33D}" userId="4f07585f94bc8d41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1758EB-FC23-4AAE-A3D9-D77E5A997AB2}" name="Table1" displayName="Table1" ref="A1:C6" totalsRowShown="0">
  <autoFilter ref="A1:C6" xr:uid="{731758EB-FC23-4AAE-A3D9-D77E5A997AB2}"/>
  <tableColumns count="3">
    <tableColumn id="1" xr3:uid="{89390C0A-D60A-4F60-AB26-4B6F439A86DC}" name="Sales Rep Name"/>
    <tableColumn id="2" xr3:uid="{AD1D4290-DF63-4D52-815C-985D04D3EC10}" name="Total Sales" dataDxfId="0" dataCellStyle="Currency">
      <calculatedColumnFormula>SUMIF(SalesList!$A$6:$A$255, Table1[[#This Row],[Sales Rep Name]], SalesList!$C$6:$C$255)</calculatedColumnFormula>
    </tableColumn>
    <tableColumn id="3" xr3:uid="{09860B2B-6146-4566-B6C2-679A66620499}" name="Total Commissions" dataCellStyle="Currency">
      <calculatedColumnFormula>SUMIF(SalesList!$A$6:$A$255,Table1[[#This Row],[Sales Rep Name]], SalesList!$D$6:$D$255)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56" dT="2022-11-11T21:32:04.66" personId="{17FCDD1F-2136-4236-B52A-2DEE5616A33D}" id="{161B0FB5-0EFD-4A5A-9784-4395A9F361C1}">
    <text>Warning!!!
To include this entry, you will need to update formulas on the SalesRepSummary worksheet.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53C2-6C51-487A-9D9B-C9865757D388}">
  <dimension ref="B1:C19"/>
  <sheetViews>
    <sheetView topLeftCell="A9" workbookViewId="0">
      <selection activeCell="C17" sqref="C17"/>
    </sheetView>
  </sheetViews>
  <sheetFormatPr defaultRowHeight="12.5" x14ac:dyDescent="0.25"/>
  <cols>
    <col min="2" max="2" width="23" customWidth="1"/>
    <col min="3" max="3" width="67.90625" customWidth="1"/>
  </cols>
  <sheetData>
    <row r="1" spans="2:3" ht="13" thickBot="1" x14ac:dyDescent="0.3"/>
    <row r="2" spans="2:3" ht="13" x14ac:dyDescent="0.3">
      <c r="B2" s="21" t="s">
        <v>19</v>
      </c>
      <c r="C2" s="22" t="s">
        <v>20</v>
      </c>
    </row>
    <row r="3" spans="2:3" ht="13" x14ac:dyDescent="0.3">
      <c r="B3" s="23" t="s">
        <v>21</v>
      </c>
      <c r="C3" s="24">
        <v>44876</v>
      </c>
    </row>
    <row r="4" spans="2:3" ht="13" x14ac:dyDescent="0.3">
      <c r="B4" s="23"/>
      <c r="C4" s="25"/>
    </row>
    <row r="5" spans="2:3" ht="13" x14ac:dyDescent="0.3">
      <c r="B5" s="23" t="s">
        <v>22</v>
      </c>
      <c r="C5" s="26" t="s">
        <v>20</v>
      </c>
    </row>
    <row r="6" spans="2:3" ht="49.5" customHeight="1" x14ac:dyDescent="0.3">
      <c r="B6" s="23" t="s">
        <v>23</v>
      </c>
      <c r="C6" s="27" t="s">
        <v>37</v>
      </c>
    </row>
    <row r="7" spans="2:3" ht="13" x14ac:dyDescent="0.3">
      <c r="B7" s="23" t="s">
        <v>24</v>
      </c>
      <c r="C7" s="25"/>
    </row>
    <row r="8" spans="2:3" ht="25" x14ac:dyDescent="0.25">
      <c r="B8" s="31" t="s">
        <v>25</v>
      </c>
      <c r="C8" s="28" t="s">
        <v>26</v>
      </c>
    </row>
    <row r="9" spans="2:3" ht="13" x14ac:dyDescent="0.3">
      <c r="B9" s="31" t="s">
        <v>27</v>
      </c>
      <c r="C9" s="26" t="s">
        <v>28</v>
      </c>
    </row>
    <row r="10" spans="2:3" s="17" customFormat="1" ht="13" x14ac:dyDescent="0.25">
      <c r="B10" s="31" t="s">
        <v>29</v>
      </c>
      <c r="C10" s="26" t="s">
        <v>30</v>
      </c>
    </row>
    <row r="11" spans="2:3" ht="25" customHeight="1" x14ac:dyDescent="0.25">
      <c r="B11" s="31" t="s">
        <v>31</v>
      </c>
      <c r="C11" s="29" t="s">
        <v>32</v>
      </c>
    </row>
    <row r="12" spans="2:3" ht="13" x14ac:dyDescent="0.25">
      <c r="B12" s="31" t="s">
        <v>33</v>
      </c>
      <c r="C12" s="26" t="s">
        <v>34</v>
      </c>
    </row>
    <row r="13" spans="2:3" ht="25.5" thickBot="1" x14ac:dyDescent="0.3">
      <c r="B13" s="32" t="s">
        <v>35</v>
      </c>
      <c r="C13" s="30" t="s">
        <v>36</v>
      </c>
    </row>
    <row r="14" spans="2:3" ht="13" x14ac:dyDescent="0.3">
      <c r="B14" s="36" t="s">
        <v>38</v>
      </c>
      <c r="C14" s="37"/>
    </row>
    <row r="15" spans="2:3" ht="25" x14ac:dyDescent="0.25">
      <c r="B15" s="33" t="s">
        <v>39</v>
      </c>
      <c r="C15" s="18" t="s">
        <v>44</v>
      </c>
    </row>
    <row r="16" spans="2:3" ht="37.5" x14ac:dyDescent="0.25">
      <c r="B16" s="33" t="s">
        <v>40</v>
      </c>
      <c r="C16" s="18" t="s">
        <v>45</v>
      </c>
    </row>
    <row r="17" spans="2:3" ht="13" x14ac:dyDescent="0.25">
      <c r="B17" s="33" t="s">
        <v>41</v>
      </c>
      <c r="C17" s="19" t="s">
        <v>46</v>
      </c>
    </row>
    <row r="18" spans="2:3" ht="25" x14ac:dyDescent="0.25">
      <c r="B18" s="33" t="s">
        <v>42</v>
      </c>
      <c r="C18" s="35" t="s">
        <v>47</v>
      </c>
    </row>
    <row r="19" spans="2:3" ht="38" thickBot="1" x14ac:dyDescent="0.3">
      <c r="B19" s="34" t="s">
        <v>43</v>
      </c>
      <c r="C19" s="20" t="s">
        <v>48</v>
      </c>
    </row>
  </sheetData>
  <mergeCells count="1">
    <mergeCell ref="B14:C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1"/>
  <sheetViews>
    <sheetView tabSelected="1" zoomScaleNormal="100" workbookViewId="0">
      <selection activeCell="B5" sqref="B5"/>
    </sheetView>
  </sheetViews>
  <sheetFormatPr defaultRowHeight="12.5" x14ac:dyDescent="0.25"/>
  <cols>
    <col min="1" max="1" width="23.81640625" customWidth="1"/>
    <col min="2" max="2" width="20.54296875" customWidth="1"/>
  </cols>
  <sheetData>
    <row r="1" spans="1:3" ht="13" x14ac:dyDescent="0.3">
      <c r="A1" s="38" t="s">
        <v>9</v>
      </c>
      <c r="B1" s="38"/>
      <c r="C1" s="38"/>
    </row>
    <row r="2" spans="1:3" ht="13" x14ac:dyDescent="0.3">
      <c r="A2" s="38" t="s">
        <v>0</v>
      </c>
      <c r="B2" s="38"/>
      <c r="C2" s="38"/>
    </row>
    <row r="3" spans="1:3" ht="13" x14ac:dyDescent="0.3">
      <c r="A3" s="38" t="s">
        <v>1</v>
      </c>
      <c r="B3" s="38"/>
      <c r="C3" s="38"/>
    </row>
    <row r="5" spans="1:3" ht="13" x14ac:dyDescent="0.3">
      <c r="A5" s="1" t="s">
        <v>5</v>
      </c>
      <c r="B5" s="15"/>
    </row>
    <row r="6" spans="1:3" ht="13" x14ac:dyDescent="0.3">
      <c r="A6" s="1" t="s">
        <v>6</v>
      </c>
      <c r="B6" s="13"/>
    </row>
    <row r="7" spans="1:3" ht="13" x14ac:dyDescent="0.3">
      <c r="A7" s="1" t="s">
        <v>7</v>
      </c>
      <c r="B7" s="12"/>
    </row>
    <row r="8" spans="1:3" ht="13" x14ac:dyDescent="0.3">
      <c r="A8" s="1" t="s">
        <v>8</v>
      </c>
      <c r="B8" s="2">
        <f>ROUND(B7*B11,2)</f>
        <v>0</v>
      </c>
    </row>
    <row r="11" spans="1:3" ht="13" x14ac:dyDescent="0.3">
      <c r="A11" s="3" t="s">
        <v>2</v>
      </c>
      <c r="B11" s="4">
        <v>7.7499999999999999E-2</v>
      </c>
    </row>
  </sheetData>
  <sheetProtection sheet="1" objects="1" scenarios="1"/>
  <mergeCells count="3">
    <mergeCell ref="A1:C1"/>
    <mergeCell ref="A2:C2"/>
    <mergeCell ref="A3:C3"/>
  </mergeCells>
  <phoneticPr fontId="0" type="noConversion"/>
  <dataValidations count="2">
    <dataValidation type="date" allowBlank="1" showInputMessage="1" showErrorMessage="1" error="Only date(s) in the year 2022 allowed" promptTitle="Sales Date" prompt="Valid dates in 2022 only" sqref="B6" xr:uid="{AE0ABB8D-332E-43AF-9D37-99786DE4E763}">
      <formula1>44562</formula1>
      <formula2>44926</formula2>
    </dataValidation>
    <dataValidation type="decimal" operator="greaterThanOrEqual" allowBlank="1" showInputMessage="1" showErrorMessage="1" errorTitle="Error" error="Only figures &gt;= 0 is allowed" promptTitle="Sales Amount" prompt="Must be positive" sqref="B7" xr:uid="{041A3FC3-4605-4853-BAFC-5DE9EB0E81D1}">
      <formula1>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 macro="[0]!UpdateSalesList">
                <anchor moveWithCells="1">
                  <from>
                    <xdr:col>3</xdr:col>
                    <xdr:colOff>488950</xdr:colOff>
                    <xdr:row>1</xdr:row>
                    <xdr:rowOff>95250</xdr:rowOff>
                  </from>
                  <to>
                    <xdr:col>5</xdr:col>
                    <xdr:colOff>184150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Only letters allowed" promptTitle="Sales Rep Name" prompt="Enter Select Sales Rep" xr:uid="{DAF4AB39-057C-4DCB-A2A8-479E64EE4B9C}">
          <x14:formula1>
            <xm:f>SalesRepSummary!$A$2:$A$6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256"/>
  <sheetViews>
    <sheetView topLeftCell="A15" zoomScaleNormal="100" workbookViewId="0">
      <selection activeCell="G16" sqref="G16"/>
    </sheetView>
  </sheetViews>
  <sheetFormatPr defaultRowHeight="12.5" x14ac:dyDescent="0.25"/>
  <cols>
    <col min="1" max="1" width="16.1796875" bestFit="1" customWidth="1"/>
    <col min="2" max="2" width="10.7265625" bestFit="1" customWidth="1"/>
    <col min="3" max="3" width="13.7265625" bestFit="1" customWidth="1"/>
    <col min="4" max="4" width="12" bestFit="1" customWidth="1"/>
  </cols>
  <sheetData>
    <row r="1" spans="1:4" ht="13" x14ac:dyDescent="0.3">
      <c r="A1" s="38" t="s">
        <v>9</v>
      </c>
      <c r="B1" s="38"/>
      <c r="C1" s="38"/>
      <c r="D1" s="38"/>
    </row>
    <row r="2" spans="1:4" ht="13" x14ac:dyDescent="0.3">
      <c r="A2" s="38" t="s">
        <v>3</v>
      </c>
      <c r="B2" s="38"/>
      <c r="C2" s="38"/>
      <c r="D2" s="38"/>
    </row>
    <row r="3" spans="1:4" ht="13" x14ac:dyDescent="0.3">
      <c r="A3" s="38" t="s">
        <v>4</v>
      </c>
      <c r="B3" s="38"/>
      <c r="C3" s="38"/>
      <c r="D3" s="38"/>
    </row>
    <row r="5" spans="1:4" ht="13.5" thickBot="1" x14ac:dyDescent="0.35">
      <c r="A5" s="5" t="s">
        <v>5</v>
      </c>
      <c r="B5" s="5" t="s">
        <v>6</v>
      </c>
      <c r="C5" s="5" t="s">
        <v>7</v>
      </c>
      <c r="D5" s="5" t="s">
        <v>8</v>
      </c>
    </row>
    <row r="6" spans="1:4" x14ac:dyDescent="0.25">
      <c r="A6" t="s">
        <v>10</v>
      </c>
      <c r="B6" s="6">
        <v>44756</v>
      </c>
      <c r="C6" s="7">
        <v>2200</v>
      </c>
      <c r="D6" s="7">
        <v>165</v>
      </c>
    </row>
    <row r="7" spans="1:4" x14ac:dyDescent="0.25">
      <c r="A7" s="8" t="s">
        <v>11</v>
      </c>
      <c r="B7" s="6">
        <v>44756</v>
      </c>
      <c r="C7" s="7">
        <v>1900</v>
      </c>
      <c r="D7" s="7">
        <v>142.5</v>
      </c>
    </row>
    <row r="8" spans="1:4" x14ac:dyDescent="0.25">
      <c r="A8" s="8" t="s">
        <v>12</v>
      </c>
      <c r="B8" s="6">
        <v>44756</v>
      </c>
      <c r="C8" s="7">
        <v>1450</v>
      </c>
      <c r="D8" s="7">
        <v>108.75</v>
      </c>
    </row>
    <row r="9" spans="1:4" x14ac:dyDescent="0.25">
      <c r="A9" s="8" t="s">
        <v>13</v>
      </c>
      <c r="B9" s="9">
        <v>44756</v>
      </c>
      <c r="C9" s="10">
        <v>1875</v>
      </c>
      <c r="D9" s="7">
        <v>140.63</v>
      </c>
    </row>
    <row r="10" spans="1:4" x14ac:dyDescent="0.25">
      <c r="A10" s="8" t="s">
        <v>12</v>
      </c>
      <c r="B10" s="9">
        <v>44758</v>
      </c>
      <c r="C10" s="10">
        <v>1750</v>
      </c>
      <c r="D10" s="7">
        <v>131.25</v>
      </c>
    </row>
    <row r="11" spans="1:4" x14ac:dyDescent="0.25">
      <c r="A11" t="s">
        <v>10</v>
      </c>
      <c r="B11" s="6">
        <v>44759</v>
      </c>
      <c r="C11" s="7">
        <v>2500</v>
      </c>
      <c r="D11" s="7">
        <v>187.5</v>
      </c>
    </row>
    <row r="12" spans="1:4" x14ac:dyDescent="0.25">
      <c r="A12" s="8" t="s">
        <v>11</v>
      </c>
      <c r="B12" s="9">
        <v>44759</v>
      </c>
      <c r="C12" s="10">
        <v>1800</v>
      </c>
      <c r="D12" s="7">
        <v>135</v>
      </c>
    </row>
    <row r="13" spans="1:4" x14ac:dyDescent="0.25">
      <c r="A13" s="8" t="s">
        <v>14</v>
      </c>
      <c r="B13" s="9">
        <v>44759</v>
      </c>
      <c r="C13" s="10">
        <v>2300</v>
      </c>
      <c r="D13" s="7">
        <v>172.5</v>
      </c>
    </row>
    <row r="14" spans="1:4" x14ac:dyDescent="0.25">
      <c r="A14" s="8" t="s">
        <v>12</v>
      </c>
      <c r="B14" s="9">
        <v>44759</v>
      </c>
      <c r="C14" s="10">
        <v>1750</v>
      </c>
      <c r="D14" s="7">
        <v>131.25</v>
      </c>
    </row>
    <row r="15" spans="1:4" x14ac:dyDescent="0.25">
      <c r="A15" s="8" t="s">
        <v>14</v>
      </c>
      <c r="B15" s="9">
        <v>44761</v>
      </c>
      <c r="C15" s="10">
        <v>2525</v>
      </c>
      <c r="D15" s="10">
        <v>189.38</v>
      </c>
    </row>
    <row r="16" spans="1:4" x14ac:dyDescent="0.25">
      <c r="A16" s="8" t="s">
        <v>14</v>
      </c>
      <c r="B16" s="9">
        <v>44761</v>
      </c>
      <c r="C16" s="10">
        <v>1775</v>
      </c>
      <c r="D16" s="7">
        <v>133.13</v>
      </c>
    </row>
    <row r="17" spans="1:4" x14ac:dyDescent="0.25">
      <c r="A17" s="8" t="s">
        <v>12</v>
      </c>
      <c r="B17" s="9">
        <v>44761</v>
      </c>
      <c r="C17" s="10">
        <v>1825</v>
      </c>
      <c r="D17" s="7">
        <v>136.88</v>
      </c>
    </row>
    <row r="18" spans="1:4" x14ac:dyDescent="0.25">
      <c r="A18" s="8" t="s">
        <v>13</v>
      </c>
      <c r="B18" s="9">
        <v>44761</v>
      </c>
      <c r="C18" s="10">
        <v>1875</v>
      </c>
      <c r="D18" s="7">
        <v>140.63</v>
      </c>
    </row>
    <row r="19" spans="1:4" x14ac:dyDescent="0.25">
      <c r="A19" s="8" t="s">
        <v>13</v>
      </c>
      <c r="B19" s="9">
        <v>44762</v>
      </c>
      <c r="C19" s="10">
        <v>1950</v>
      </c>
      <c r="D19" s="7">
        <v>146.25</v>
      </c>
    </row>
    <row r="20" spans="1:4" x14ac:dyDescent="0.25">
      <c r="A20" s="8" t="s">
        <v>12</v>
      </c>
      <c r="B20" s="9">
        <v>44763</v>
      </c>
      <c r="C20" s="10">
        <v>1875</v>
      </c>
      <c r="D20" s="10">
        <v>140.63</v>
      </c>
    </row>
    <row r="21" spans="1:4" x14ac:dyDescent="0.25">
      <c r="A21" s="8" t="s">
        <v>12</v>
      </c>
      <c r="B21" s="9">
        <v>44766</v>
      </c>
      <c r="C21" s="10">
        <v>1790</v>
      </c>
      <c r="D21" s="7">
        <v>134.25</v>
      </c>
    </row>
    <row r="22" spans="1:4" x14ac:dyDescent="0.25">
      <c r="A22" s="8" t="s">
        <v>13</v>
      </c>
      <c r="B22" s="9">
        <v>44766</v>
      </c>
      <c r="C22" s="10">
        <v>1875</v>
      </c>
      <c r="D22" s="10">
        <v>140.63</v>
      </c>
    </row>
    <row r="23" spans="1:4" x14ac:dyDescent="0.25">
      <c r="A23" t="s">
        <v>13</v>
      </c>
      <c r="B23" s="6">
        <v>44767</v>
      </c>
      <c r="C23" s="14">
        <v>5500</v>
      </c>
      <c r="D23" s="14">
        <v>426.25</v>
      </c>
    </row>
    <row r="24" spans="1:4" x14ac:dyDescent="0.25">
      <c r="A24" t="s">
        <v>14</v>
      </c>
      <c r="B24" s="6">
        <v>44767</v>
      </c>
      <c r="C24" s="14">
        <v>900</v>
      </c>
      <c r="D24" s="14">
        <v>69.75</v>
      </c>
    </row>
    <row r="25" spans="1:4" x14ac:dyDescent="0.25">
      <c r="A25" t="s">
        <v>14</v>
      </c>
      <c r="B25" s="6">
        <v>44769</v>
      </c>
      <c r="C25" s="16">
        <v>1175</v>
      </c>
      <c r="D25" s="16">
        <v>91.06</v>
      </c>
    </row>
    <row r="26" spans="1:4" x14ac:dyDescent="0.25">
      <c r="A26" t="s">
        <v>12</v>
      </c>
      <c r="B26" s="6">
        <v>44770</v>
      </c>
      <c r="C26" s="16">
        <v>2100</v>
      </c>
      <c r="D26" s="16">
        <v>162.75</v>
      </c>
    </row>
    <row r="256" spans="1:1" x14ac:dyDescent="0.25"/>
  </sheetData>
  <mergeCells count="3">
    <mergeCell ref="A1:D1"/>
    <mergeCell ref="A2:D2"/>
    <mergeCell ref="A3:D3"/>
  </mergeCells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93EC-065A-491A-AA2B-6A094C0C9421}">
  <dimension ref="A1:C6"/>
  <sheetViews>
    <sheetView workbookViewId="0">
      <selection activeCell="B4" sqref="B4"/>
    </sheetView>
  </sheetViews>
  <sheetFormatPr defaultRowHeight="12.5" x14ac:dyDescent="0.25"/>
  <cols>
    <col min="1" max="1" width="18.453125" bestFit="1" customWidth="1"/>
    <col min="2" max="2" width="13.453125" bestFit="1" customWidth="1"/>
    <col min="3" max="3" width="20.54296875" bestFit="1" customWidth="1"/>
  </cols>
  <sheetData>
    <row r="1" spans="1:3" x14ac:dyDescent="0.25">
      <c r="A1" t="s">
        <v>5</v>
      </c>
      <c r="B1" t="s">
        <v>15</v>
      </c>
      <c r="C1" t="s">
        <v>16</v>
      </c>
    </row>
    <row r="2" spans="1:3" x14ac:dyDescent="0.25">
      <c r="A2" t="s">
        <v>10</v>
      </c>
      <c r="B2" s="11">
        <f>SUMIF(SalesList!$A$6:$A$255, Table1[[#This Row],[Sales Rep Name]], SalesList!$C$6:$C$255)</f>
        <v>4700</v>
      </c>
      <c r="C2" s="11">
        <f>SUMIF(SalesList!$A$6:$A$255,Table1[[#This Row],[Sales Rep Name]], SalesList!$D$6:$D$255)</f>
        <v>352.5</v>
      </c>
    </row>
    <row r="3" spans="1:3" x14ac:dyDescent="0.25">
      <c r="A3" t="s">
        <v>11</v>
      </c>
      <c r="B3" s="11">
        <f>SUMIF(SalesList!$A$6:$A$255, Table1[[#This Row],[Sales Rep Name]], SalesList!$C$6:$C$255)</f>
        <v>3700</v>
      </c>
      <c r="C3" s="11">
        <f>SUMIF(SalesList!$A$6:$A$255,Table1[[#This Row],[Sales Rep Name]], SalesList!$D$6:$D$255)</f>
        <v>277.5</v>
      </c>
    </row>
    <row r="4" spans="1:3" x14ac:dyDescent="0.25">
      <c r="A4" t="s">
        <v>12</v>
      </c>
      <c r="B4" s="11">
        <f>SUMIF(SalesList!$A$6:$A$255, Table1[[#This Row],[Sales Rep Name]], SalesList!$C$6:$C$255)</f>
        <v>12540</v>
      </c>
      <c r="C4" s="11">
        <f>SUMIF(SalesList!$A$6:$A$255,Table1[[#This Row],[Sales Rep Name]], SalesList!$D$6:$D$255)</f>
        <v>945.76</v>
      </c>
    </row>
    <row r="5" spans="1:3" x14ac:dyDescent="0.25">
      <c r="A5" t="s">
        <v>13</v>
      </c>
      <c r="B5" s="11">
        <f>SUMIF(SalesList!$A$6:$A$255, Table1[[#This Row],[Sales Rep Name]], SalesList!$C$6:$C$255)</f>
        <v>13075</v>
      </c>
      <c r="C5" s="11">
        <f>SUMIF(SalesList!$A$6:$A$255,Table1[[#This Row],[Sales Rep Name]], SalesList!$D$6:$D$255)</f>
        <v>994.39</v>
      </c>
    </row>
    <row r="6" spans="1:3" x14ac:dyDescent="0.25">
      <c r="A6" t="s">
        <v>14</v>
      </c>
      <c r="B6" s="11">
        <f>SUMIF(SalesList!$A$6:$A$255, Table1[[#This Row],[Sales Rep Name]], SalesList!$C$6:$C$255)</f>
        <v>8675</v>
      </c>
      <c r="C6" s="11">
        <f>SUMIF(SalesList!$A$6:$A$255,Table1[[#This Row],[Sales Rep Name]], SalesList!$D$6:$D$255)</f>
        <v>655.81999999999994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8456-52EB-46D2-A68E-498F1C49766E}">
  <dimension ref="C1:E3"/>
  <sheetViews>
    <sheetView workbookViewId="0">
      <selection activeCell="H13" sqref="H13"/>
    </sheetView>
  </sheetViews>
  <sheetFormatPr defaultRowHeight="12.5" x14ac:dyDescent="0.25"/>
  <cols>
    <col min="3" max="3" width="15.6328125" customWidth="1"/>
    <col min="4" max="4" width="21.08984375" customWidth="1"/>
  </cols>
  <sheetData>
    <row r="1" spans="3:5" ht="13" x14ac:dyDescent="0.3">
      <c r="C1" s="38" t="s">
        <v>9</v>
      </c>
      <c r="D1" s="38"/>
      <c r="E1" s="38"/>
    </row>
    <row r="2" spans="3:5" ht="13" x14ac:dyDescent="0.3">
      <c r="C2" s="38" t="s">
        <v>17</v>
      </c>
      <c r="D2" s="38"/>
      <c r="E2" s="38"/>
    </row>
    <row r="3" spans="3:5" ht="13" x14ac:dyDescent="0.3">
      <c r="C3" s="38" t="s">
        <v>18</v>
      </c>
      <c r="D3" s="38"/>
      <c r="E3" s="38"/>
    </row>
  </sheetData>
  <mergeCells count="3">
    <mergeCell ref="C1:E1"/>
    <mergeCell ref="C2:E2"/>
    <mergeCell ref="C3:E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Documentation</vt:lpstr>
      <vt:lpstr>SalesEntryForm</vt:lpstr>
      <vt:lpstr>SalesList</vt:lpstr>
      <vt:lpstr>SalesRepSummary</vt:lpstr>
      <vt:lpstr>SalesChart</vt:lpstr>
      <vt:lpstr>Commission</vt:lpstr>
      <vt:lpstr>Sales_Amount</vt:lpstr>
      <vt:lpstr>Sales_Date</vt:lpstr>
      <vt:lpstr>Sales_Rep_Name</vt:lpstr>
      <vt:lpstr>Steelers</vt:lpstr>
      <vt:lpstr>Top</vt:lpstr>
    </vt:vector>
  </TitlesOfParts>
  <Company>The Software Resource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Stoney Brooks</dc:creator>
  <cp:lastModifiedBy>Akinteye Gbemisola</cp:lastModifiedBy>
  <dcterms:created xsi:type="dcterms:W3CDTF">2004-10-22T14:25:37Z</dcterms:created>
  <dcterms:modified xsi:type="dcterms:W3CDTF">2022-11-15T19:55:33Z</dcterms:modified>
</cp:coreProperties>
</file>